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>
    <definedName hidden="1" localSheetId="0" name="_xlnm._FilterDatabase">Results!$A$1:$K$31</definedName>
  </definedNames>
  <calcPr/>
</workbook>
</file>

<file path=xl/sharedStrings.xml><?xml version="1.0" encoding="utf-8"?>
<sst xmlns="http://schemas.openxmlformats.org/spreadsheetml/2006/main" count="159" uniqueCount="51">
  <si>
    <t>File Name</t>
  </si>
  <si>
    <t>PMD</t>
  </si>
  <si>
    <t>Organic</t>
  </si>
  <si>
    <t>Jspirit</t>
  </si>
  <si>
    <t>JDeodorant</t>
  </si>
  <si>
    <t>DeepSeek-R1</t>
  </si>
  <si>
    <t>gpt-5-mini</t>
  </si>
  <si>
    <t>Llama-3.3</t>
  </si>
  <si>
    <t>Qwen2.5-Coder</t>
  </si>
  <si>
    <t>HUMAN</t>
  </si>
  <si>
    <t>PREDICTION</t>
  </si>
  <si>
    <t>RATERS VS HUMAN ORACLE (RQ1 &amp; RQ2)</t>
  </si>
  <si>
    <t>RATERS VS PREDICITIONS</t>
  </si>
  <si>
    <t>HUMAN ORACLE VS PREDICTIONS (RQ3)</t>
  </si>
  <si>
    <t>AssertUtil.java</t>
  </si>
  <si>
    <t>CodahaleHealthChecker.java</t>
  </si>
  <si>
    <t>TP</t>
  </si>
  <si>
    <t>TN</t>
  </si>
  <si>
    <t xml:space="preserve">FP </t>
  </si>
  <si>
    <t>FN</t>
  </si>
  <si>
    <t>Precision</t>
  </si>
  <si>
    <t>Recall</t>
  </si>
  <si>
    <t>F1</t>
  </si>
  <si>
    <t>CodeCacheEventWalker.java</t>
  </si>
  <si>
    <t>com.badlogic.gdx.scenes.scene2d.Stage.java</t>
  </si>
  <si>
    <t>com.macro.mall.portal.service.impl.OmsPortalOrderServiceImpl.java</t>
  </si>
  <si>
    <t>CommandDecoder.java</t>
  </si>
  <si>
    <t>DBeaverCore.java</t>
  </si>
  <si>
    <t>DetectionResultRowIndicatorColumn.java</t>
  </si>
  <si>
    <t>EnablePluginCommand.java</t>
  </si>
  <si>
    <t>ExcelWriteFillExecutor.java</t>
  </si>
  <si>
    <t>ExecutionSequencer.java</t>
  </si>
  <si>
    <t>HazelcastPubSubStore.java</t>
  </si>
  <si>
    <t>HtmlTreeBuilderStateTest.java</t>
  </si>
  <si>
    <t>HTTPSession.java</t>
  </si>
  <si>
    <t>Internet.java</t>
  </si>
  <si>
    <t>Location.java</t>
  </si>
  <si>
    <t>JobLogController.java</t>
  </si>
  <si>
    <t>MapTypeAdapterFactory.java</t>
  </si>
  <si>
    <t>Monitor.java</t>
  </si>
  <si>
    <t>NioClientTest.java</t>
  </si>
  <si>
    <t>PageModelExtractor.java</t>
  </si>
  <si>
    <t>PlainPermissionManager.java</t>
  </si>
  <si>
    <t>PreparedStatementHandler.java</t>
  </si>
  <si>
    <t>PropertyElf.java</t>
  </si>
  <si>
    <t>RocketMQMessageHandler.java</t>
  </si>
  <si>
    <t>SaSecureUtil.java</t>
  </si>
  <si>
    <t>ServiceLoader.java</t>
  </si>
  <si>
    <t>StatisticSlot.java</t>
  </si>
  <si>
    <t>Throwables.java</t>
  </si>
  <si>
    <t>Vault.java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</si>
</sst>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8">
    <border/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0" fillId="0" fontId="2" numFmtId="4" xfId="0" applyAlignment="1" applyFont="1" applyNumberForma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5" fillId="0" fontId="3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7" fillId="0" fontId="4" numFmtId="0" xfId="0" applyBorder="1" applyFont="1"/>
    <xf borderId="5" fillId="0" fontId="3" numFmtId="4" xfId="0" applyAlignment="1" applyBorder="1" applyFont="1" applyNumberFormat="1">
      <alignment horizontal="center" shrinkToFit="0" vertical="bottom" wrapText="1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5" fillId="0" fontId="3" numFmtId="4" xfId="0" applyAlignment="1" applyBorder="1" applyFont="1" applyNumberFormat="1">
      <alignment horizontal="center" vertical="bottom"/>
    </xf>
    <xf borderId="6" fillId="0" fontId="3" numFmtId="4" xfId="0" applyAlignment="1" applyBorder="1" applyFont="1" applyNumberFormat="1">
      <alignment horizontal="center" vertical="bottom"/>
    </xf>
    <xf borderId="7" fillId="0" fontId="3" numFmtId="4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2" fillId="0" fontId="2" numFmtId="4" xfId="0" applyAlignment="1" applyBorder="1" applyFont="1" applyNumberFormat="1">
      <alignment horizontal="center" vertical="bottom"/>
    </xf>
    <xf borderId="4" fillId="0" fontId="2" numFmtId="4" xfId="0" applyAlignment="1" applyBorder="1" applyFont="1" applyNumberFormat="1">
      <alignment horizontal="center" vertical="bottom"/>
    </xf>
    <xf borderId="4" fillId="4" fontId="2" numFmtId="4" xfId="0" applyAlignment="1" applyBorder="1" applyFill="1" applyFont="1" applyNumberFormat="1">
      <alignment horizontal="center" vertical="bottom"/>
    </xf>
    <xf borderId="0" fillId="3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5"/>
    <col customWidth="1" hidden="1" min="2" max="2" width="7.25"/>
    <col customWidth="1" min="3" max="3" width="9.5"/>
    <col customWidth="1" min="4" max="4" width="8.0"/>
    <col customWidth="1" hidden="1" min="5" max="5" width="12.75"/>
    <col customWidth="1" min="6" max="6" width="14.13"/>
    <col customWidth="1" min="7" max="7" width="11.5"/>
    <col customWidth="1" min="8" max="8" width="11.13"/>
    <col customWidth="1" min="9" max="9" width="15.88"/>
    <col customWidth="1" min="10" max="10" width="9.75"/>
    <col customWidth="1" min="11" max="11" width="13.75"/>
    <col customWidth="1" min="12" max="12" width="9.88"/>
    <col customWidth="1" min="13" max="13" width="13.25"/>
    <col customWidth="1" min="14" max="15" width="4.75"/>
    <col customWidth="1" min="16" max="16" width="3.75"/>
    <col customWidth="1" min="17" max="18" width="3.25"/>
    <col customWidth="1" min="19" max="19" width="13.25"/>
    <col customWidth="1" min="20" max="20" width="5.88"/>
    <col customWidth="1" min="21" max="21" width="5.13"/>
    <col customWidth="1" min="22" max="22" width="4.13"/>
    <col customWidth="1" min="23" max="24" width="4.0"/>
    <col customWidth="1" min="25" max="25" width="13.25"/>
    <col customWidth="1" min="26" max="27" width="4.75"/>
    <col customWidth="1" min="28" max="28" width="3.75"/>
    <col customWidth="1" min="29" max="30" width="3.25"/>
    <col customWidth="1" min="31" max="31" width="13.25"/>
    <col customWidth="1" min="32" max="32" width="5.88"/>
    <col customWidth="1" min="33" max="33" width="5.13"/>
    <col customWidth="1" min="34" max="36" width="4.0"/>
    <col customWidth="1" min="37" max="37" width="13.25"/>
    <col customWidth="1" min="38" max="39" width="4.75"/>
    <col customWidth="1" min="40" max="40" width="3.75"/>
    <col customWidth="1" min="41" max="42" width="3.25"/>
    <col customWidth="1" min="43" max="43" width="13.25"/>
    <col customWidth="1" min="44" max="44" width="5.88"/>
    <col customWidth="1" min="45" max="45" width="5.13"/>
    <col customWidth="1" min="46" max="47" width="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/>
      <c r="M1" s="6" t="s">
        <v>11</v>
      </c>
      <c r="N1" s="7"/>
      <c r="O1" s="7"/>
      <c r="P1" s="7"/>
      <c r="Q1" s="7"/>
      <c r="R1" s="7"/>
      <c r="S1" s="7"/>
      <c r="T1" s="7"/>
      <c r="U1" s="8"/>
      <c r="V1" s="9"/>
      <c r="W1" s="10"/>
      <c r="X1" s="11"/>
      <c r="Y1" s="6" t="s">
        <v>12</v>
      </c>
      <c r="Z1" s="7"/>
      <c r="AA1" s="7"/>
      <c r="AB1" s="7"/>
      <c r="AC1" s="7"/>
      <c r="AD1" s="7"/>
      <c r="AE1" s="7"/>
      <c r="AF1" s="7"/>
      <c r="AG1" s="8"/>
      <c r="AH1" s="11"/>
      <c r="AI1" s="10"/>
      <c r="AJ1" s="11"/>
      <c r="AK1" s="6" t="s">
        <v>13</v>
      </c>
      <c r="AL1" s="7"/>
      <c r="AM1" s="7"/>
      <c r="AN1" s="7"/>
      <c r="AO1" s="7"/>
      <c r="AP1" s="7"/>
      <c r="AQ1" s="7"/>
      <c r="AR1" s="7"/>
      <c r="AS1" s="8"/>
      <c r="AT1" s="11"/>
      <c r="AU1" s="11"/>
    </row>
    <row r="2">
      <c r="A2" s="1" t="s">
        <v>14</v>
      </c>
      <c r="B2" s="1">
        <v>0.0</v>
      </c>
      <c r="C2" s="1">
        <v>0.0</v>
      </c>
      <c r="D2" s="1">
        <v>1.0</v>
      </c>
      <c r="E2" s="1">
        <v>0.0</v>
      </c>
      <c r="F2" s="1">
        <v>0.0</v>
      </c>
      <c r="G2" s="12">
        <v>0.0</v>
      </c>
      <c r="H2" s="12">
        <v>0.0</v>
      </c>
      <c r="I2" s="13">
        <v>0.0</v>
      </c>
      <c r="J2" s="12">
        <v>0.0</v>
      </c>
      <c r="K2" s="14">
        <f t="shared" ref="K2:K31" si="1">IF(SUM(C2:I2) &gt;= 3, 1, 0)</f>
        <v>0</v>
      </c>
      <c r="L2" s="14"/>
      <c r="M2" s="15"/>
      <c r="N2" s="15"/>
      <c r="O2" s="15"/>
      <c r="P2" s="15"/>
      <c r="Q2" s="15"/>
      <c r="R2" s="9"/>
      <c r="S2" s="9"/>
      <c r="T2" s="9"/>
      <c r="U2" s="9"/>
      <c r="V2" s="9"/>
      <c r="W2" s="16"/>
      <c r="X2" s="15"/>
      <c r="Y2" s="15"/>
      <c r="Z2" s="15"/>
      <c r="AA2" s="15"/>
      <c r="AB2" s="15"/>
      <c r="AC2" s="15"/>
      <c r="AD2" s="9"/>
      <c r="AE2" s="9"/>
      <c r="AF2" s="9"/>
      <c r="AG2" s="9"/>
      <c r="AH2" s="15"/>
      <c r="AI2" s="16"/>
      <c r="AJ2" s="15"/>
      <c r="AK2" s="11"/>
      <c r="AL2" s="11"/>
      <c r="AM2" s="11"/>
      <c r="AN2" s="11"/>
      <c r="AO2" s="11"/>
      <c r="AP2" s="9"/>
      <c r="AQ2" s="9"/>
      <c r="AR2" s="9"/>
      <c r="AS2" s="9"/>
      <c r="AT2" s="15"/>
      <c r="AU2" s="15"/>
    </row>
    <row r="3">
      <c r="A3" s="1" t="s">
        <v>15</v>
      </c>
      <c r="B3" s="1">
        <v>0.0</v>
      </c>
      <c r="C3" s="1">
        <v>0.0</v>
      </c>
      <c r="D3" s="1">
        <v>1.0</v>
      </c>
      <c r="E3" s="1">
        <v>0.0</v>
      </c>
      <c r="F3" s="12">
        <v>0.0</v>
      </c>
      <c r="G3" s="12">
        <v>0.0</v>
      </c>
      <c r="H3" s="12">
        <v>1.0</v>
      </c>
      <c r="I3" s="13">
        <v>1.0</v>
      </c>
      <c r="J3" s="12">
        <v>1.0</v>
      </c>
      <c r="K3" s="14">
        <f t="shared" si="1"/>
        <v>1</v>
      </c>
      <c r="L3" s="14"/>
      <c r="M3" s="17" t="s">
        <v>3</v>
      </c>
      <c r="N3" s="18"/>
      <c r="O3" s="18"/>
      <c r="P3" s="19"/>
      <c r="Q3" s="15"/>
      <c r="R3" s="9"/>
      <c r="S3" s="20" t="s">
        <v>3</v>
      </c>
      <c r="T3" s="18"/>
      <c r="U3" s="19"/>
      <c r="V3" s="9"/>
      <c r="W3" s="16"/>
      <c r="X3" s="15"/>
      <c r="Y3" s="17" t="s">
        <v>3</v>
      </c>
      <c r="Z3" s="18"/>
      <c r="AA3" s="18"/>
      <c r="AB3" s="19"/>
      <c r="AC3" s="15"/>
      <c r="AD3" s="9"/>
      <c r="AE3" s="20" t="s">
        <v>3</v>
      </c>
      <c r="AF3" s="18"/>
      <c r="AG3" s="19"/>
      <c r="AH3" s="15"/>
      <c r="AI3" s="16"/>
      <c r="AJ3" s="15"/>
      <c r="AK3" s="21" t="s">
        <v>16</v>
      </c>
      <c r="AL3" s="22" t="s">
        <v>17</v>
      </c>
      <c r="AM3" s="22" t="s">
        <v>18</v>
      </c>
      <c r="AN3" s="23" t="s">
        <v>19</v>
      </c>
      <c r="AO3" s="15"/>
      <c r="AP3" s="9"/>
      <c r="AQ3" s="24" t="s">
        <v>20</v>
      </c>
      <c r="AR3" s="25" t="s">
        <v>21</v>
      </c>
      <c r="AS3" s="26" t="s">
        <v>22</v>
      </c>
      <c r="AT3" s="15"/>
      <c r="AU3" s="15"/>
    </row>
    <row r="4">
      <c r="A4" s="1" t="s">
        <v>23</v>
      </c>
      <c r="B4" s="1">
        <v>0.0</v>
      </c>
      <c r="C4" s="1">
        <v>0.0</v>
      </c>
      <c r="D4" s="1">
        <v>1.0</v>
      </c>
      <c r="E4" s="1">
        <v>0.0</v>
      </c>
      <c r="F4" s="1">
        <v>0.0</v>
      </c>
      <c r="G4" s="12">
        <v>0.0</v>
      </c>
      <c r="H4" s="12">
        <v>1.0</v>
      </c>
      <c r="I4" s="13">
        <v>0.0</v>
      </c>
      <c r="J4" s="12">
        <v>0.0</v>
      </c>
      <c r="K4" s="14">
        <f t="shared" si="1"/>
        <v>0</v>
      </c>
      <c r="L4" s="14"/>
      <c r="M4" s="21" t="s">
        <v>16</v>
      </c>
      <c r="N4" s="22" t="s">
        <v>17</v>
      </c>
      <c r="O4" s="22" t="s">
        <v>18</v>
      </c>
      <c r="P4" s="23" t="s">
        <v>19</v>
      </c>
      <c r="Q4" s="15"/>
      <c r="R4" s="9"/>
      <c r="S4" s="24" t="s">
        <v>20</v>
      </c>
      <c r="T4" s="25" t="s">
        <v>21</v>
      </c>
      <c r="U4" s="26" t="s">
        <v>22</v>
      </c>
      <c r="V4" s="9"/>
      <c r="W4" s="16"/>
      <c r="X4" s="15"/>
      <c r="Y4" s="21" t="s">
        <v>16</v>
      </c>
      <c r="Z4" s="22" t="s">
        <v>17</v>
      </c>
      <c r="AA4" s="22" t="s">
        <v>18</v>
      </c>
      <c r="AB4" s="23" t="s">
        <v>19</v>
      </c>
      <c r="AC4" s="15"/>
      <c r="AD4" s="9"/>
      <c r="AE4" s="24" t="s">
        <v>20</v>
      </c>
      <c r="AF4" s="25" t="s">
        <v>21</v>
      </c>
      <c r="AG4" s="26" t="s">
        <v>22</v>
      </c>
      <c r="AH4" s="15"/>
      <c r="AI4" s="16"/>
      <c r="AJ4" s="15"/>
      <c r="AK4" s="27">
        <f>COUNTIFS(J2:J1183, 1, K2:K1183, 1)</f>
        <v>16</v>
      </c>
      <c r="AL4" s="28">
        <f>COUNTIFS(J2:J1183, 0, K2:K1183, 0)</f>
        <v>6</v>
      </c>
      <c r="AM4" s="28">
        <f>COUNTIFS(J2:J1183, 0, K2:K1183, 1)</f>
        <v>6</v>
      </c>
      <c r="AN4" s="29">
        <f>COUNTIFS(J2:J1183, 1, K2:K1183, 0)</f>
        <v>2</v>
      </c>
      <c r="AO4" s="15"/>
      <c r="AP4" s="9"/>
      <c r="AQ4" s="30">
        <f>(AK4/(AK4+AM4))</f>
        <v>0.7272727273</v>
      </c>
      <c r="AR4" s="30">
        <f>(AK4/(AK4+AN4))</f>
        <v>0.8888888889</v>
      </c>
      <c r="AS4" s="31">
        <f>IFERROR((2*AQ4*AR4)/(AQ4+AR4),0)</f>
        <v>0.8</v>
      </c>
      <c r="AT4" s="15"/>
      <c r="AU4" s="15"/>
    </row>
    <row r="5">
      <c r="A5" s="1" t="s">
        <v>24</v>
      </c>
      <c r="B5" s="1">
        <v>0.0</v>
      </c>
      <c r="C5" s="1">
        <v>1.0</v>
      </c>
      <c r="D5" s="1">
        <v>0.0</v>
      </c>
      <c r="E5" s="1">
        <v>0.0</v>
      </c>
      <c r="F5" s="12">
        <v>0.0</v>
      </c>
      <c r="G5" s="12">
        <v>0.0</v>
      </c>
      <c r="H5" s="12">
        <v>1.0</v>
      </c>
      <c r="I5" s="13">
        <v>1.0</v>
      </c>
      <c r="J5" s="12">
        <v>0.0</v>
      </c>
      <c r="K5" s="14">
        <f t="shared" si="1"/>
        <v>1</v>
      </c>
      <c r="L5" s="14"/>
      <c r="M5" s="27">
        <f>COUNTIFS(D2:D1183, 1, J2:J1183, 1)</f>
        <v>16</v>
      </c>
      <c r="N5" s="28">
        <f>COUNTIFS(D2:D1183, 0, J2:J1183, 0)</f>
        <v>2</v>
      </c>
      <c r="O5" s="28">
        <f>COUNTIFS(D2:D1183, 0, J2:J1183, 1)</f>
        <v>2</v>
      </c>
      <c r="P5" s="29">
        <f>COUNTIFS(D2:D1183, 1, J2:J1183, 0)</f>
        <v>10</v>
      </c>
      <c r="Q5" s="15"/>
      <c r="R5" s="9"/>
      <c r="S5" s="30">
        <f>(M5/(M5+O5))</f>
        <v>0.8888888889</v>
      </c>
      <c r="T5" s="30">
        <f>(M5/(M5+P5))</f>
        <v>0.6153846154</v>
      </c>
      <c r="U5" s="32">
        <f>IFERROR((2*S5*T5)/(S5+T5),0)</f>
        <v>0.7272727273</v>
      </c>
      <c r="V5" s="9"/>
      <c r="W5" s="16"/>
      <c r="X5" s="15"/>
      <c r="Y5" s="27">
        <f>COUNTIFS(D2:D1183, 1, K2:K1183, 1)</f>
        <v>18</v>
      </c>
      <c r="Z5" s="28">
        <f>COUNTIFS(D2:D1183, 0, K2:K1183, 0)</f>
        <v>0</v>
      </c>
      <c r="AA5" s="28">
        <f>COUNTIFS(D2:D1183, 0, K2:K1183, 1)</f>
        <v>4</v>
      </c>
      <c r="AB5" s="29">
        <f>COUNTIFS(D2:D1183, 1, K2:K1183, 0)</f>
        <v>8</v>
      </c>
      <c r="AC5" s="15"/>
      <c r="AD5" s="9"/>
      <c r="AE5" s="30">
        <f>(Y5/(Y5+AA5))</f>
        <v>0.8181818182</v>
      </c>
      <c r="AF5" s="30">
        <f>(Y5/(Y5+AB5))</f>
        <v>0.6923076923</v>
      </c>
      <c r="AG5" s="31">
        <f>IFERROR((2*AE5*AF5)/(AE5+AF5),0)</f>
        <v>0.75</v>
      </c>
      <c r="AH5" s="15"/>
      <c r="AI5" s="16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</row>
    <row r="6">
      <c r="A6" s="1" t="s">
        <v>25</v>
      </c>
      <c r="B6" s="1">
        <v>0.0</v>
      </c>
      <c r="C6" s="1">
        <v>1.0</v>
      </c>
      <c r="D6" s="1">
        <v>0.0</v>
      </c>
      <c r="E6" s="1">
        <v>0.0</v>
      </c>
      <c r="F6" s="1">
        <v>0.0</v>
      </c>
      <c r="G6" s="12">
        <v>1.0</v>
      </c>
      <c r="H6" s="12">
        <v>1.0</v>
      </c>
      <c r="I6" s="13">
        <v>1.0</v>
      </c>
      <c r="J6" s="12">
        <v>1.0</v>
      </c>
      <c r="K6" s="14">
        <f t="shared" si="1"/>
        <v>1</v>
      </c>
      <c r="L6" s="14"/>
      <c r="M6" s="15"/>
      <c r="N6" s="15"/>
      <c r="O6" s="15"/>
      <c r="P6" s="15"/>
      <c r="Q6" s="15"/>
      <c r="R6" s="9"/>
      <c r="S6" s="9"/>
      <c r="T6" s="9"/>
      <c r="U6" s="9"/>
      <c r="V6" s="9"/>
      <c r="W6" s="16"/>
      <c r="X6" s="15"/>
      <c r="Y6" s="15"/>
      <c r="Z6" s="15"/>
      <c r="AA6" s="15"/>
      <c r="AB6" s="15"/>
      <c r="AC6" s="15"/>
      <c r="AD6" s="9"/>
      <c r="AE6" s="9"/>
      <c r="AF6" s="9"/>
      <c r="AG6" s="9"/>
      <c r="AH6" s="15"/>
      <c r="AI6" s="16"/>
      <c r="AJ6" s="15"/>
      <c r="AK6" s="15"/>
      <c r="AL6" s="15"/>
      <c r="AM6" s="15"/>
      <c r="AN6" s="15"/>
      <c r="AO6" s="15"/>
      <c r="AP6" s="9"/>
      <c r="AQ6" s="9"/>
      <c r="AR6" s="9"/>
      <c r="AS6" s="9"/>
      <c r="AT6" s="15"/>
      <c r="AU6" s="15"/>
    </row>
    <row r="7">
      <c r="A7" s="1" t="s">
        <v>26</v>
      </c>
      <c r="B7" s="1">
        <v>0.0</v>
      </c>
      <c r="C7" s="1">
        <v>1.0</v>
      </c>
      <c r="D7" s="1">
        <v>1.0</v>
      </c>
      <c r="E7" s="1">
        <v>0.0</v>
      </c>
      <c r="F7" s="1">
        <v>1.0</v>
      </c>
      <c r="G7" s="12">
        <v>1.0</v>
      </c>
      <c r="H7" s="12">
        <v>1.0</v>
      </c>
      <c r="I7" s="13">
        <v>1.0</v>
      </c>
      <c r="J7" s="12">
        <v>1.0</v>
      </c>
      <c r="K7" s="14">
        <f t="shared" si="1"/>
        <v>1</v>
      </c>
      <c r="L7" s="14"/>
      <c r="M7" s="17" t="s">
        <v>2</v>
      </c>
      <c r="N7" s="18"/>
      <c r="O7" s="18"/>
      <c r="P7" s="19"/>
      <c r="Q7" s="15"/>
      <c r="R7" s="9"/>
      <c r="S7" s="20" t="s">
        <v>2</v>
      </c>
      <c r="T7" s="18"/>
      <c r="U7" s="19"/>
      <c r="V7" s="9"/>
      <c r="W7" s="16"/>
      <c r="X7" s="15"/>
      <c r="Y7" s="17" t="s">
        <v>2</v>
      </c>
      <c r="Z7" s="18"/>
      <c r="AA7" s="18"/>
      <c r="AB7" s="19"/>
      <c r="AC7" s="15"/>
      <c r="AD7" s="9"/>
      <c r="AE7" s="20" t="s">
        <v>2</v>
      </c>
      <c r="AF7" s="18"/>
      <c r="AG7" s="19"/>
      <c r="AH7" s="15"/>
      <c r="AI7" s="16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</row>
    <row r="8">
      <c r="A8" s="1" t="s">
        <v>27</v>
      </c>
      <c r="B8" s="1">
        <v>0.0</v>
      </c>
      <c r="C8" s="1">
        <v>1.0</v>
      </c>
      <c r="D8" s="1">
        <v>1.0</v>
      </c>
      <c r="E8" s="1">
        <v>0.0</v>
      </c>
      <c r="F8" s="12">
        <v>0.0</v>
      </c>
      <c r="G8" s="12">
        <v>1.0</v>
      </c>
      <c r="H8" s="12">
        <v>1.0</v>
      </c>
      <c r="I8" s="13">
        <v>1.0</v>
      </c>
      <c r="J8" s="12">
        <v>1.0</v>
      </c>
      <c r="K8" s="14">
        <f t="shared" si="1"/>
        <v>1</v>
      </c>
      <c r="L8" s="14"/>
      <c r="M8" s="21" t="s">
        <v>16</v>
      </c>
      <c r="N8" s="22" t="s">
        <v>17</v>
      </c>
      <c r="O8" s="22" t="s">
        <v>18</v>
      </c>
      <c r="P8" s="23" t="s">
        <v>19</v>
      </c>
      <c r="Q8" s="15"/>
      <c r="R8" s="9"/>
      <c r="S8" s="24" t="s">
        <v>20</v>
      </c>
      <c r="T8" s="25" t="s">
        <v>21</v>
      </c>
      <c r="U8" s="26" t="s">
        <v>22</v>
      </c>
      <c r="V8" s="9"/>
      <c r="W8" s="16"/>
      <c r="X8" s="15"/>
      <c r="Y8" s="21" t="s">
        <v>16</v>
      </c>
      <c r="Z8" s="22" t="s">
        <v>17</v>
      </c>
      <c r="AA8" s="22" t="s">
        <v>18</v>
      </c>
      <c r="AB8" s="23" t="s">
        <v>19</v>
      </c>
      <c r="AC8" s="15"/>
      <c r="AD8" s="9"/>
      <c r="AE8" s="24" t="s">
        <v>20</v>
      </c>
      <c r="AF8" s="25" t="s">
        <v>21</v>
      </c>
      <c r="AG8" s="26" t="s">
        <v>22</v>
      </c>
      <c r="AH8" s="15"/>
      <c r="AI8" s="16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</row>
    <row r="9">
      <c r="A9" s="1" t="s">
        <v>28</v>
      </c>
      <c r="B9" s="1">
        <v>0.0</v>
      </c>
      <c r="C9" s="1">
        <v>1.0</v>
      </c>
      <c r="D9" s="1">
        <v>1.0</v>
      </c>
      <c r="E9" s="1">
        <v>0.0</v>
      </c>
      <c r="F9" s="12">
        <v>0.0</v>
      </c>
      <c r="G9" s="12">
        <v>0.0</v>
      </c>
      <c r="H9" s="12">
        <v>0.0</v>
      </c>
      <c r="I9" s="13">
        <v>0.0</v>
      </c>
      <c r="J9" s="12">
        <v>1.0</v>
      </c>
      <c r="K9" s="14">
        <f t="shared" si="1"/>
        <v>0</v>
      </c>
      <c r="L9" s="14"/>
      <c r="M9" s="27">
        <f>COUNTIFS(C2:C1183, 1, J2:J1183, 1)</f>
        <v>11</v>
      </c>
      <c r="N9" s="28">
        <f>COUNTIFS(C2:C1183, 0, J2:J1183, 0)</f>
        <v>9</v>
      </c>
      <c r="O9" s="28">
        <f>COUNTIFS(C2:C1183, 0, J2:J1183, 1)</f>
        <v>7</v>
      </c>
      <c r="P9" s="29">
        <f>COUNTIFS(C2:C1183, 1, J2:J1183, 0)</f>
        <v>3</v>
      </c>
      <c r="Q9" s="15"/>
      <c r="R9" s="9"/>
      <c r="S9" s="30">
        <f>(M9/(M9+O9))</f>
        <v>0.6111111111</v>
      </c>
      <c r="T9" s="30">
        <f>(M9/(M9+P9))</f>
        <v>0.7857142857</v>
      </c>
      <c r="U9" s="31">
        <f>IFERROR((2*S9*T9)/(S9+T9),0)</f>
        <v>0.6875</v>
      </c>
      <c r="V9" s="9"/>
      <c r="W9" s="16"/>
      <c r="X9" s="15"/>
      <c r="Y9" s="27">
        <f>COUNTIFS(C2:C1183, 1, K2:K1183, 1)</f>
        <v>13</v>
      </c>
      <c r="Z9" s="28">
        <f>COUNTIFS(C2:C1183, 0, K2:K1183, 0)</f>
        <v>7</v>
      </c>
      <c r="AA9" s="28">
        <f>COUNTIFS(C2:C1183, 0, K2:K1183, 1)</f>
        <v>9</v>
      </c>
      <c r="AB9" s="29">
        <f>COUNTIFS(C2:C1183, 1, K2:K1183, 0)</f>
        <v>1</v>
      </c>
      <c r="AC9" s="15"/>
      <c r="AD9" s="9"/>
      <c r="AE9" s="30">
        <f>(Y9/(Y9+AA9))</f>
        <v>0.5909090909</v>
      </c>
      <c r="AF9" s="30">
        <f>(Y9/(Y9+AB9))</f>
        <v>0.9285714286</v>
      </c>
      <c r="AG9" s="31">
        <f>IFERROR((2*AE9*AF9)/(AE9+AF9),0)</f>
        <v>0.7222222222</v>
      </c>
      <c r="AH9" s="15"/>
      <c r="AI9" s="16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</row>
    <row r="10">
      <c r="A10" s="1" t="s">
        <v>29</v>
      </c>
      <c r="B10" s="1">
        <v>0.0</v>
      </c>
      <c r="C10" s="1">
        <v>0.0</v>
      </c>
      <c r="D10" s="1">
        <v>1.0</v>
      </c>
      <c r="E10" s="1">
        <v>0.0</v>
      </c>
      <c r="F10" s="12">
        <v>0.0</v>
      </c>
      <c r="G10" s="12">
        <v>0.0</v>
      </c>
      <c r="H10" s="12">
        <v>0.0</v>
      </c>
      <c r="I10" s="13">
        <v>0.0</v>
      </c>
      <c r="J10" s="12">
        <v>1.0</v>
      </c>
      <c r="K10" s="14">
        <f t="shared" si="1"/>
        <v>0</v>
      </c>
      <c r="L10" s="14"/>
      <c r="M10" s="15"/>
      <c r="N10" s="15"/>
      <c r="O10" s="15"/>
      <c r="P10" s="15"/>
      <c r="Q10" s="15"/>
      <c r="R10" s="9"/>
      <c r="S10" s="9"/>
      <c r="T10" s="9"/>
      <c r="U10" s="9"/>
      <c r="V10" s="9"/>
      <c r="W10" s="16"/>
      <c r="X10" s="15"/>
      <c r="Y10" s="15"/>
      <c r="Z10" s="15"/>
      <c r="AA10" s="15"/>
      <c r="AB10" s="15"/>
      <c r="AC10" s="15"/>
      <c r="AD10" s="9"/>
      <c r="AE10" s="9"/>
      <c r="AF10" s="9"/>
      <c r="AG10" s="9"/>
      <c r="AH10" s="15"/>
      <c r="AI10" s="16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</row>
    <row r="11">
      <c r="A11" s="1" t="s">
        <v>30</v>
      </c>
      <c r="B11" s="1">
        <v>0.0</v>
      </c>
      <c r="C11" s="1">
        <v>1.0</v>
      </c>
      <c r="D11" s="1">
        <v>1.0</v>
      </c>
      <c r="E11" s="1">
        <v>0.0</v>
      </c>
      <c r="F11" s="1">
        <v>0.0</v>
      </c>
      <c r="G11" s="12">
        <v>1.0</v>
      </c>
      <c r="H11" s="12">
        <v>1.0</v>
      </c>
      <c r="I11" s="13">
        <v>1.0</v>
      </c>
      <c r="J11" s="12">
        <v>0.0</v>
      </c>
      <c r="K11" s="14">
        <f t="shared" si="1"/>
        <v>1</v>
      </c>
      <c r="L11" s="14"/>
      <c r="M11" s="17" t="s">
        <v>5</v>
      </c>
      <c r="N11" s="18"/>
      <c r="O11" s="18"/>
      <c r="P11" s="19"/>
      <c r="Q11" s="15"/>
      <c r="R11" s="9"/>
      <c r="S11" s="20" t="s">
        <v>5</v>
      </c>
      <c r="T11" s="18"/>
      <c r="U11" s="19"/>
      <c r="V11" s="9"/>
      <c r="W11" s="16"/>
      <c r="X11" s="15"/>
      <c r="Y11" s="17" t="s">
        <v>5</v>
      </c>
      <c r="Z11" s="18"/>
      <c r="AA11" s="18"/>
      <c r="AB11" s="19"/>
      <c r="AC11" s="15"/>
      <c r="AD11" s="9"/>
      <c r="AE11" s="20" t="s">
        <v>5</v>
      </c>
      <c r="AF11" s="18"/>
      <c r="AG11" s="19"/>
      <c r="AH11" s="15"/>
      <c r="AI11" s="16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</row>
    <row r="12">
      <c r="A12" s="1" t="s">
        <v>31</v>
      </c>
      <c r="B12" s="1">
        <v>0.0</v>
      </c>
      <c r="C12" s="1">
        <v>1.0</v>
      </c>
      <c r="D12" s="1">
        <v>1.0</v>
      </c>
      <c r="E12" s="1">
        <v>0.0</v>
      </c>
      <c r="F12" s="12">
        <v>0.0</v>
      </c>
      <c r="G12" s="12">
        <v>0.0</v>
      </c>
      <c r="H12" s="12">
        <v>1.0</v>
      </c>
      <c r="I12" s="13">
        <v>1.0</v>
      </c>
      <c r="J12" s="12">
        <v>1.0</v>
      </c>
      <c r="K12" s="14">
        <f t="shared" si="1"/>
        <v>1</v>
      </c>
      <c r="L12" s="14"/>
      <c r="M12" s="21" t="s">
        <v>16</v>
      </c>
      <c r="N12" s="22" t="s">
        <v>17</v>
      </c>
      <c r="O12" s="22" t="s">
        <v>18</v>
      </c>
      <c r="P12" s="23" t="s">
        <v>19</v>
      </c>
      <c r="Q12" s="15"/>
      <c r="R12" s="9"/>
      <c r="S12" s="24" t="s">
        <v>20</v>
      </c>
      <c r="T12" s="25" t="s">
        <v>21</v>
      </c>
      <c r="U12" s="26" t="s">
        <v>22</v>
      </c>
      <c r="V12" s="9"/>
      <c r="W12" s="16"/>
      <c r="X12" s="15"/>
      <c r="Y12" s="21" t="s">
        <v>16</v>
      </c>
      <c r="Z12" s="22" t="s">
        <v>17</v>
      </c>
      <c r="AA12" s="22" t="s">
        <v>18</v>
      </c>
      <c r="AB12" s="23" t="s">
        <v>19</v>
      </c>
      <c r="AC12" s="15"/>
      <c r="AD12" s="9"/>
      <c r="AE12" s="24" t="s">
        <v>20</v>
      </c>
      <c r="AF12" s="25" t="s">
        <v>21</v>
      </c>
      <c r="AG12" s="26" t="s">
        <v>22</v>
      </c>
      <c r="AH12" s="15"/>
      <c r="AI12" s="16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</row>
    <row r="13">
      <c r="A13" s="1" t="s">
        <v>32</v>
      </c>
      <c r="B13" s="1">
        <v>0.0</v>
      </c>
      <c r="C13" s="1">
        <v>0.0</v>
      </c>
      <c r="D13" s="1">
        <v>1.0</v>
      </c>
      <c r="E13" s="1">
        <v>0.0</v>
      </c>
      <c r="F13" s="1">
        <v>0.0</v>
      </c>
      <c r="G13" s="12">
        <v>1.0</v>
      </c>
      <c r="H13" s="12">
        <v>0.0</v>
      </c>
      <c r="I13" s="13">
        <v>0.0</v>
      </c>
      <c r="J13" s="12">
        <v>0.0</v>
      </c>
      <c r="K13" s="14">
        <f t="shared" si="1"/>
        <v>0</v>
      </c>
      <c r="L13" s="14"/>
      <c r="M13" s="27">
        <f>COUNTIFS(F2:F1183, 1, J2:J1183, 1)</f>
        <v>6</v>
      </c>
      <c r="N13" s="28">
        <f>COUNTIFS(F2:F1183, 0, J2:J1183, 0)</f>
        <v>10</v>
      </c>
      <c r="O13" s="28">
        <f>COUNTIFS(F2:F1183, 0, J2:J1183, 1)</f>
        <v>12</v>
      </c>
      <c r="P13" s="29">
        <f>COUNTIFS(F2:F1183, 1, J2:J1183, 0)</f>
        <v>2</v>
      </c>
      <c r="Q13" s="15"/>
      <c r="R13" s="9"/>
      <c r="S13" s="30">
        <f>(M13/(M13+O13))</f>
        <v>0.3333333333</v>
      </c>
      <c r="T13" s="30">
        <f>(M13/(M13+P13))</f>
        <v>0.75</v>
      </c>
      <c r="U13" s="31">
        <f>IFERROR((2*S13*T13)/(S13+T13),0)</f>
        <v>0.4615384615</v>
      </c>
      <c r="V13" s="9"/>
      <c r="W13" s="16"/>
      <c r="X13" s="15"/>
      <c r="Y13" s="27">
        <f>COUNTIFS(F2:F1183, 1, K2:K1183, 1)</f>
        <v>8</v>
      </c>
      <c r="Z13" s="28">
        <f>COUNTIFS(F2:F1183, 0, K2:K1183, 0)</f>
        <v>8</v>
      </c>
      <c r="AA13" s="28">
        <f>COUNTIFS(F2:F1183, 0, K2:K1183, 1)</f>
        <v>14</v>
      </c>
      <c r="AB13" s="29">
        <f>COUNTIFS(F2:F1183, 1, K2:K1183, 0)</f>
        <v>0</v>
      </c>
      <c r="AC13" s="15"/>
      <c r="AD13" s="9"/>
      <c r="AE13" s="30">
        <f>(Y13/(Y13+AA13))</f>
        <v>0.3636363636</v>
      </c>
      <c r="AF13" s="30">
        <f>(Y13/(Y13+AB13))</f>
        <v>1</v>
      </c>
      <c r="AG13" s="31">
        <f>IFERROR((2*AE13*AF13)/(AE13+AF13),0)</f>
        <v>0.5333333333</v>
      </c>
      <c r="AH13" s="15"/>
      <c r="AI13" s="16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</row>
    <row r="14">
      <c r="A14" s="1" t="s">
        <v>33</v>
      </c>
      <c r="B14" s="1">
        <v>0.0</v>
      </c>
      <c r="C14" s="1">
        <v>0.0</v>
      </c>
      <c r="D14" s="1">
        <v>1.0</v>
      </c>
      <c r="E14" s="1">
        <v>0.0</v>
      </c>
      <c r="F14" s="1">
        <v>0.0</v>
      </c>
      <c r="G14" s="12">
        <v>0.0</v>
      </c>
      <c r="H14" s="12">
        <v>1.0</v>
      </c>
      <c r="I14" s="13">
        <v>1.0</v>
      </c>
      <c r="J14" s="12">
        <v>0.0</v>
      </c>
      <c r="K14" s="14">
        <f t="shared" si="1"/>
        <v>1</v>
      </c>
      <c r="L14" s="14"/>
      <c r="M14" s="15"/>
      <c r="N14" s="15"/>
      <c r="O14" s="15"/>
      <c r="P14" s="15"/>
      <c r="Q14" s="15"/>
      <c r="R14" s="9"/>
      <c r="S14" s="9"/>
      <c r="T14" s="9"/>
      <c r="U14" s="9"/>
      <c r="V14" s="9"/>
      <c r="W14" s="16"/>
      <c r="X14" s="15"/>
      <c r="Y14" s="15"/>
      <c r="Z14" s="15"/>
      <c r="AA14" s="15"/>
      <c r="AB14" s="15"/>
      <c r="AC14" s="15"/>
      <c r="AD14" s="9"/>
      <c r="AE14" s="9"/>
      <c r="AF14" s="9"/>
      <c r="AG14" s="9"/>
      <c r="AH14" s="15"/>
      <c r="AI14" s="16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</row>
    <row r="15">
      <c r="A15" s="1" t="s">
        <v>34</v>
      </c>
      <c r="B15" s="1">
        <v>0.0</v>
      </c>
      <c r="C15" s="1">
        <v>1.0</v>
      </c>
      <c r="D15" s="1">
        <v>1.0</v>
      </c>
      <c r="E15" s="1">
        <v>0.0</v>
      </c>
      <c r="F15" s="12">
        <v>1.0</v>
      </c>
      <c r="G15" s="12">
        <v>1.0</v>
      </c>
      <c r="H15" s="12">
        <v>1.0</v>
      </c>
      <c r="I15" s="13">
        <v>1.0</v>
      </c>
      <c r="J15" s="12">
        <v>1.0</v>
      </c>
      <c r="K15" s="14">
        <f t="shared" si="1"/>
        <v>1</v>
      </c>
      <c r="L15" s="14"/>
      <c r="M15" s="17" t="s">
        <v>6</v>
      </c>
      <c r="N15" s="18"/>
      <c r="O15" s="18"/>
      <c r="P15" s="19"/>
      <c r="Q15" s="15"/>
      <c r="R15" s="9"/>
      <c r="S15" s="20" t="s">
        <v>6</v>
      </c>
      <c r="T15" s="18"/>
      <c r="U15" s="19"/>
      <c r="V15" s="9"/>
      <c r="W15" s="16"/>
      <c r="X15" s="15"/>
      <c r="Y15" s="20" t="s">
        <v>6</v>
      </c>
      <c r="Z15" s="18"/>
      <c r="AA15" s="18"/>
      <c r="AB15" s="19"/>
      <c r="AC15" s="15"/>
      <c r="AD15" s="9"/>
      <c r="AE15" s="20" t="s">
        <v>6</v>
      </c>
      <c r="AF15" s="18"/>
      <c r="AG15" s="19"/>
      <c r="AH15" s="15"/>
      <c r="AI15" s="16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</row>
    <row r="16">
      <c r="A16" s="1" t="s">
        <v>35</v>
      </c>
      <c r="B16" s="1">
        <v>0.0</v>
      </c>
      <c r="C16" s="1">
        <v>0.0</v>
      </c>
      <c r="D16" s="1">
        <v>1.0</v>
      </c>
      <c r="E16" s="1">
        <v>0.0</v>
      </c>
      <c r="F16" s="12">
        <v>0.0</v>
      </c>
      <c r="G16" s="12">
        <v>0.0</v>
      </c>
      <c r="H16" s="12">
        <v>1.0</v>
      </c>
      <c r="I16" s="13">
        <v>1.0</v>
      </c>
      <c r="J16" s="12">
        <v>1.0</v>
      </c>
      <c r="K16" s="14">
        <f t="shared" si="1"/>
        <v>1</v>
      </c>
      <c r="L16" s="14"/>
      <c r="M16" s="21" t="s">
        <v>16</v>
      </c>
      <c r="N16" s="22" t="s">
        <v>17</v>
      </c>
      <c r="O16" s="22" t="s">
        <v>18</v>
      </c>
      <c r="P16" s="23" t="s">
        <v>19</v>
      </c>
      <c r="Q16" s="15"/>
      <c r="R16" s="9"/>
      <c r="S16" s="24" t="s">
        <v>20</v>
      </c>
      <c r="T16" s="25" t="s">
        <v>21</v>
      </c>
      <c r="U16" s="26" t="s">
        <v>22</v>
      </c>
      <c r="V16" s="9"/>
      <c r="W16" s="16"/>
      <c r="X16" s="15"/>
      <c r="Y16" s="21" t="s">
        <v>16</v>
      </c>
      <c r="Z16" s="22" t="s">
        <v>17</v>
      </c>
      <c r="AA16" s="22" t="s">
        <v>18</v>
      </c>
      <c r="AB16" s="23" t="s">
        <v>19</v>
      </c>
      <c r="AC16" s="15"/>
      <c r="AD16" s="9"/>
      <c r="AE16" s="24" t="s">
        <v>20</v>
      </c>
      <c r="AF16" s="25" t="s">
        <v>21</v>
      </c>
      <c r="AG16" s="26" t="s">
        <v>22</v>
      </c>
      <c r="AH16" s="15"/>
      <c r="AI16" s="16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</row>
    <row r="17">
      <c r="A17" s="1" t="s">
        <v>36</v>
      </c>
      <c r="B17" s="1">
        <v>0.0</v>
      </c>
      <c r="C17" s="1">
        <v>1.0</v>
      </c>
      <c r="D17" s="1">
        <v>1.0</v>
      </c>
      <c r="E17" s="1">
        <v>0.0</v>
      </c>
      <c r="F17" s="12">
        <v>0.0</v>
      </c>
      <c r="G17" s="1">
        <v>1.0</v>
      </c>
      <c r="H17" s="1">
        <v>0.0</v>
      </c>
      <c r="I17" s="13">
        <v>0.0</v>
      </c>
      <c r="J17" s="12">
        <v>1.0</v>
      </c>
      <c r="K17" s="14">
        <f t="shared" si="1"/>
        <v>1</v>
      </c>
      <c r="L17" s="14"/>
      <c r="M17" s="27">
        <f>COUNTIFS(G2:G1183, 1, J2:J1183, 1)</f>
        <v>6</v>
      </c>
      <c r="N17" s="28">
        <f>COUNTIFS(G2:G1183, 0, J2:J1183, 0)</f>
        <v>8</v>
      </c>
      <c r="O17" s="28">
        <f>COUNTIFS(G2:G1183, 0, J2:J1183, 1)</f>
        <v>12</v>
      </c>
      <c r="P17" s="29">
        <f>COUNTIFS(G2:G1183, 1, J2:J1183, 0)</f>
        <v>4</v>
      </c>
      <c r="Q17" s="15"/>
      <c r="R17" s="9"/>
      <c r="S17" s="30">
        <f>(M17/(M17+O17))</f>
        <v>0.3333333333</v>
      </c>
      <c r="T17" s="30">
        <f>IFERROR((M17/(M17+P17)),0)</f>
        <v>0.6</v>
      </c>
      <c r="U17" s="31">
        <f>IFERROR((2*S17*T17)/(S17+T17),0)</f>
        <v>0.4285714286</v>
      </c>
      <c r="V17" s="9"/>
      <c r="W17" s="16"/>
      <c r="X17" s="15"/>
      <c r="Y17" s="27">
        <f>COUNTIFS(G2:G1183, 1, K2:K1183, 1)</f>
        <v>9</v>
      </c>
      <c r="Z17" s="28">
        <f>COUNTIFS(G2:G1183, 0, K2:K1183, 0)</f>
        <v>7</v>
      </c>
      <c r="AA17" s="28">
        <f>COUNTIFS(G2:G1183, 0, K2:K1183, 1)</f>
        <v>13</v>
      </c>
      <c r="AB17" s="29">
        <f>COUNTIFS(G2:G1183, 1, K2:K1183, 0)</f>
        <v>1</v>
      </c>
      <c r="AC17" s="15"/>
      <c r="AD17" s="9"/>
      <c r="AE17" s="30">
        <f>(Y17/(Y17+AA17))</f>
        <v>0.4090909091</v>
      </c>
      <c r="AF17" s="30">
        <f>IFERROR((Y17/(Y17+AB17)),0)</f>
        <v>0.9</v>
      </c>
      <c r="AG17" s="31">
        <f>IFERROR((2*AE17*AF17)/(AE17+AF17),0)</f>
        <v>0.5625</v>
      </c>
      <c r="AH17" s="15"/>
      <c r="AI17" s="16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</row>
    <row r="18">
      <c r="A18" s="1" t="s">
        <v>37</v>
      </c>
      <c r="B18" s="1">
        <v>0.0</v>
      </c>
      <c r="C18" s="1">
        <v>1.0</v>
      </c>
      <c r="D18" s="1">
        <v>1.0</v>
      </c>
      <c r="E18" s="1">
        <v>0.0</v>
      </c>
      <c r="F18" s="1">
        <v>0.0</v>
      </c>
      <c r="G18" s="12">
        <v>0.0</v>
      </c>
      <c r="H18" s="12">
        <v>1.0</v>
      </c>
      <c r="I18" s="13">
        <v>1.0</v>
      </c>
      <c r="J18" s="12">
        <v>1.0</v>
      </c>
      <c r="K18" s="14">
        <f t="shared" si="1"/>
        <v>1</v>
      </c>
      <c r="L18" s="14"/>
      <c r="M18" s="15"/>
      <c r="N18" s="15"/>
      <c r="O18" s="15"/>
      <c r="P18" s="15"/>
      <c r="Q18" s="15"/>
      <c r="R18" s="9"/>
      <c r="S18" s="9"/>
      <c r="T18" s="9"/>
      <c r="U18" s="9"/>
      <c r="V18" s="9"/>
      <c r="W18" s="16"/>
      <c r="X18" s="15"/>
      <c r="Y18" s="15"/>
      <c r="Z18" s="15"/>
      <c r="AA18" s="15"/>
      <c r="AB18" s="15"/>
      <c r="AC18" s="15"/>
      <c r="AD18" s="9"/>
      <c r="AE18" s="9"/>
      <c r="AF18" s="9"/>
      <c r="AG18" s="9"/>
      <c r="AH18" s="15"/>
      <c r="AI18" s="16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</row>
    <row r="19">
      <c r="A19" s="1" t="s">
        <v>38</v>
      </c>
      <c r="B19" s="1">
        <v>0.0</v>
      </c>
      <c r="C19" s="1">
        <v>1.0</v>
      </c>
      <c r="D19" s="1">
        <v>0.0</v>
      </c>
      <c r="E19" s="1">
        <v>0.0</v>
      </c>
      <c r="F19" s="12">
        <v>0.0</v>
      </c>
      <c r="G19" s="12">
        <v>0.0</v>
      </c>
      <c r="H19" s="12">
        <v>1.0</v>
      </c>
      <c r="I19" s="13">
        <v>1.0</v>
      </c>
      <c r="J19" s="12">
        <v>1.0</v>
      </c>
      <c r="K19" s="14">
        <f t="shared" si="1"/>
        <v>1</v>
      </c>
      <c r="L19" s="14"/>
      <c r="M19" s="17" t="s">
        <v>7</v>
      </c>
      <c r="N19" s="18"/>
      <c r="O19" s="18"/>
      <c r="P19" s="19"/>
      <c r="Q19" s="15"/>
      <c r="R19" s="9"/>
      <c r="S19" s="20" t="s">
        <v>7</v>
      </c>
      <c r="T19" s="18"/>
      <c r="U19" s="19"/>
      <c r="V19" s="9"/>
      <c r="W19" s="16"/>
      <c r="X19" s="15"/>
      <c r="Y19" s="17" t="s">
        <v>7</v>
      </c>
      <c r="Z19" s="18"/>
      <c r="AA19" s="18"/>
      <c r="AB19" s="19"/>
      <c r="AC19" s="15"/>
      <c r="AD19" s="9"/>
      <c r="AE19" s="20" t="s">
        <v>7</v>
      </c>
      <c r="AF19" s="18"/>
      <c r="AG19" s="19"/>
      <c r="AH19" s="15"/>
      <c r="AI19" s="16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</row>
    <row r="20">
      <c r="A20" s="1" t="s">
        <v>39</v>
      </c>
      <c r="B20" s="1">
        <v>0.0</v>
      </c>
      <c r="C20" s="1">
        <v>1.0</v>
      </c>
      <c r="D20" s="1">
        <v>1.0</v>
      </c>
      <c r="E20" s="1">
        <v>0.0</v>
      </c>
      <c r="F20" s="12">
        <v>1.0</v>
      </c>
      <c r="G20" s="12">
        <v>1.0</v>
      </c>
      <c r="H20" s="12">
        <v>1.0</v>
      </c>
      <c r="I20" s="13">
        <v>1.0</v>
      </c>
      <c r="J20" s="12">
        <v>0.0</v>
      </c>
      <c r="K20" s="14">
        <f t="shared" si="1"/>
        <v>1</v>
      </c>
      <c r="L20" s="14"/>
      <c r="M20" s="21" t="s">
        <v>16</v>
      </c>
      <c r="N20" s="22" t="s">
        <v>17</v>
      </c>
      <c r="O20" s="22" t="s">
        <v>18</v>
      </c>
      <c r="P20" s="23" t="s">
        <v>19</v>
      </c>
      <c r="Q20" s="15"/>
      <c r="R20" s="9"/>
      <c r="S20" s="24" t="s">
        <v>20</v>
      </c>
      <c r="T20" s="25" t="s">
        <v>21</v>
      </c>
      <c r="U20" s="26" t="s">
        <v>22</v>
      </c>
      <c r="V20" s="9"/>
      <c r="W20" s="16"/>
      <c r="X20" s="15"/>
      <c r="Y20" s="21" t="s">
        <v>16</v>
      </c>
      <c r="Z20" s="22" t="s">
        <v>17</v>
      </c>
      <c r="AA20" s="22" t="s">
        <v>18</v>
      </c>
      <c r="AB20" s="23" t="s">
        <v>19</v>
      </c>
      <c r="AC20" s="15"/>
      <c r="AD20" s="9"/>
      <c r="AE20" s="24" t="s">
        <v>20</v>
      </c>
      <c r="AF20" s="25" t="s">
        <v>21</v>
      </c>
      <c r="AG20" s="26" t="s">
        <v>22</v>
      </c>
      <c r="AH20" s="15"/>
      <c r="AI20" s="16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</row>
    <row r="21">
      <c r="A21" s="1" t="s">
        <v>40</v>
      </c>
      <c r="B21" s="1">
        <v>0.0</v>
      </c>
      <c r="C21" s="1">
        <v>0.0</v>
      </c>
      <c r="D21" s="1">
        <v>1.0</v>
      </c>
      <c r="E21" s="1">
        <v>0.0</v>
      </c>
      <c r="F21" s="1">
        <v>0.0</v>
      </c>
      <c r="G21" s="12">
        <v>0.0</v>
      </c>
      <c r="H21" s="12">
        <v>1.0</v>
      </c>
      <c r="I21" s="13">
        <v>1.0</v>
      </c>
      <c r="J21" s="12">
        <v>0.0</v>
      </c>
      <c r="K21" s="14">
        <f t="shared" si="1"/>
        <v>1</v>
      </c>
      <c r="L21" s="14"/>
      <c r="M21" s="27">
        <f>COUNTIFS(H2:H1183, 1, J2:J1183, 1)</f>
        <v>14</v>
      </c>
      <c r="N21" s="28">
        <f>COUNTIFS(H2:H1183, 0, J2:J1183, 0)</f>
        <v>5</v>
      </c>
      <c r="O21" s="28">
        <f>COUNTIFS(H2:H1183, 0, J2:J1183, 1)</f>
        <v>4</v>
      </c>
      <c r="P21" s="29">
        <f>COUNTIFS(H2:H1183, 1, J2:J1183, 0)</f>
        <v>7</v>
      </c>
      <c r="Q21" s="15"/>
      <c r="R21" s="9"/>
      <c r="S21" s="30">
        <f>(M21/(M21+O21))</f>
        <v>0.7777777778</v>
      </c>
      <c r="T21" s="30">
        <f>(M21/(M21+P21))</f>
        <v>0.6666666667</v>
      </c>
      <c r="U21" s="31">
        <f>IFERROR((2*S21*T21)/(S21+T21),0)</f>
        <v>0.7179487179</v>
      </c>
      <c r="V21" s="9"/>
      <c r="W21" s="16"/>
      <c r="X21" s="15"/>
      <c r="Y21" s="27">
        <f>COUNTIFS(H2:H1183, 1, K2:K1183, 1)</f>
        <v>20</v>
      </c>
      <c r="Z21" s="28">
        <f>COUNTIFS(H2:H1183, 0, K2:K1183, 0)</f>
        <v>7</v>
      </c>
      <c r="AA21" s="28">
        <f>COUNTIFS(H2:H1183, 0, K2:K1183, 1)</f>
        <v>2</v>
      </c>
      <c r="AB21" s="29">
        <f>COUNTIFS(H2:H1183, 1, K2:K1183, 0)</f>
        <v>1</v>
      </c>
      <c r="AC21" s="15"/>
      <c r="AD21" s="9"/>
      <c r="AE21" s="30">
        <f>(Y21/(Y21+AA21))</f>
        <v>0.9090909091</v>
      </c>
      <c r="AF21" s="30">
        <f>(Y21/(Y21+AB21))</f>
        <v>0.9523809524</v>
      </c>
      <c r="AG21" s="32">
        <f>IFERROR((2*AE21*AF21)/(AE21+AF21),0)</f>
        <v>0.9302325581</v>
      </c>
      <c r="AH21" s="15"/>
      <c r="AI21" s="16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</row>
    <row r="22">
      <c r="A22" s="1" t="s">
        <v>41</v>
      </c>
      <c r="B22" s="1">
        <v>0.0</v>
      </c>
      <c r="C22" s="1">
        <v>0.0</v>
      </c>
      <c r="D22" s="1">
        <v>1.0</v>
      </c>
      <c r="E22" s="1">
        <v>0.0</v>
      </c>
      <c r="F22" s="1">
        <v>1.0</v>
      </c>
      <c r="G22" s="12">
        <v>1.0</v>
      </c>
      <c r="H22" s="12">
        <v>1.0</v>
      </c>
      <c r="I22" s="13">
        <v>1.0</v>
      </c>
      <c r="J22" s="12">
        <v>1.0</v>
      </c>
      <c r="K22" s="14">
        <f t="shared" si="1"/>
        <v>1</v>
      </c>
      <c r="L22" s="14"/>
      <c r="M22" s="15"/>
      <c r="N22" s="15"/>
      <c r="O22" s="15"/>
      <c r="P22" s="15"/>
      <c r="Q22" s="15"/>
      <c r="R22" s="9"/>
      <c r="S22" s="9"/>
      <c r="T22" s="9"/>
      <c r="U22" s="9"/>
      <c r="V22" s="9"/>
      <c r="W22" s="16"/>
      <c r="X22" s="15"/>
      <c r="Y22" s="15"/>
      <c r="Z22" s="15"/>
      <c r="AA22" s="15"/>
      <c r="AB22" s="15"/>
      <c r="AC22" s="15"/>
      <c r="AD22" s="9"/>
      <c r="AE22" s="9"/>
      <c r="AF22" s="9"/>
      <c r="AG22" s="9"/>
      <c r="AH22" s="15"/>
      <c r="AI22" s="16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</row>
    <row r="23">
      <c r="A23" s="1" t="s">
        <v>42</v>
      </c>
      <c r="B23" s="1">
        <v>0.0</v>
      </c>
      <c r="C23" s="1">
        <v>1.0</v>
      </c>
      <c r="D23" s="1">
        <v>1.0</v>
      </c>
      <c r="E23" s="1">
        <v>0.0</v>
      </c>
      <c r="F23" s="1">
        <v>1.0</v>
      </c>
      <c r="G23" s="12">
        <v>0.0</v>
      </c>
      <c r="H23" s="12">
        <v>1.0</v>
      </c>
      <c r="I23" s="13">
        <v>1.0</v>
      </c>
      <c r="J23" s="12">
        <v>1.0</v>
      </c>
      <c r="K23" s="14">
        <f t="shared" si="1"/>
        <v>1</v>
      </c>
      <c r="L23" s="14"/>
      <c r="M23" s="17" t="s">
        <v>8</v>
      </c>
      <c r="N23" s="18"/>
      <c r="O23" s="18"/>
      <c r="P23" s="19"/>
      <c r="Q23" s="15"/>
      <c r="R23" s="9"/>
      <c r="S23" s="20" t="s">
        <v>8</v>
      </c>
      <c r="T23" s="18"/>
      <c r="U23" s="19"/>
      <c r="V23" s="9"/>
      <c r="W23" s="16"/>
      <c r="X23" s="15"/>
      <c r="Y23" s="17" t="s">
        <v>8</v>
      </c>
      <c r="Z23" s="18"/>
      <c r="AA23" s="18"/>
      <c r="AB23" s="19"/>
      <c r="AC23" s="15"/>
      <c r="AD23" s="9"/>
      <c r="AE23" s="20" t="s">
        <v>8</v>
      </c>
      <c r="AF23" s="18"/>
      <c r="AG23" s="19"/>
      <c r="AH23" s="15"/>
      <c r="AI23" s="16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</row>
    <row r="24">
      <c r="A24" s="1" t="s">
        <v>43</v>
      </c>
      <c r="B24" s="1">
        <v>0.0</v>
      </c>
      <c r="C24" s="1">
        <v>0.0</v>
      </c>
      <c r="D24" s="1">
        <v>1.0</v>
      </c>
      <c r="E24" s="1">
        <v>0.0</v>
      </c>
      <c r="F24" s="1">
        <v>0.0</v>
      </c>
      <c r="G24" s="12">
        <v>0.0</v>
      </c>
      <c r="H24" s="12">
        <v>0.0</v>
      </c>
      <c r="I24" s="13">
        <v>0.0</v>
      </c>
      <c r="J24" s="12">
        <v>0.0</v>
      </c>
      <c r="K24" s="14">
        <f t="shared" si="1"/>
        <v>0</v>
      </c>
      <c r="L24" s="14"/>
      <c r="M24" s="21" t="s">
        <v>16</v>
      </c>
      <c r="N24" s="22" t="s">
        <v>17</v>
      </c>
      <c r="O24" s="22" t="s">
        <v>18</v>
      </c>
      <c r="P24" s="23" t="s">
        <v>19</v>
      </c>
      <c r="Q24" s="15"/>
      <c r="R24" s="9"/>
      <c r="S24" s="24" t="s">
        <v>20</v>
      </c>
      <c r="T24" s="25" t="s">
        <v>21</v>
      </c>
      <c r="U24" s="26" t="s">
        <v>22</v>
      </c>
      <c r="V24" s="9"/>
      <c r="W24" s="16"/>
      <c r="X24" s="15"/>
      <c r="Y24" s="21" t="s">
        <v>16</v>
      </c>
      <c r="Z24" s="22" t="s">
        <v>17</v>
      </c>
      <c r="AA24" s="22" t="s">
        <v>18</v>
      </c>
      <c r="AB24" s="23" t="s">
        <v>19</v>
      </c>
      <c r="AC24" s="15"/>
      <c r="AD24" s="9"/>
      <c r="AE24" s="24" t="s">
        <v>20</v>
      </c>
      <c r="AF24" s="25" t="s">
        <v>21</v>
      </c>
      <c r="AG24" s="26" t="s">
        <v>22</v>
      </c>
      <c r="AH24" s="15"/>
      <c r="AI24" s="16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</row>
    <row r="25">
      <c r="A25" s="1" t="s">
        <v>44</v>
      </c>
      <c r="B25" s="1">
        <v>0.0</v>
      </c>
      <c r="C25" s="1">
        <v>0.0</v>
      </c>
      <c r="D25" s="1">
        <v>1.0</v>
      </c>
      <c r="E25" s="1">
        <v>0.0</v>
      </c>
      <c r="F25" s="12">
        <v>0.0</v>
      </c>
      <c r="G25" s="12">
        <v>0.0</v>
      </c>
      <c r="H25" s="12">
        <v>1.0</v>
      </c>
      <c r="I25" s="13">
        <v>1.0</v>
      </c>
      <c r="J25" s="12">
        <v>1.0</v>
      </c>
      <c r="K25" s="14">
        <f t="shared" si="1"/>
        <v>1</v>
      </c>
      <c r="L25" s="14"/>
      <c r="M25" s="27">
        <f>COUNTIFS(I2:I1183, 1, J2:J1183, 1)</f>
        <v>14</v>
      </c>
      <c r="N25" s="28">
        <f>COUNTIFS(I2:I1183, 0, J2:J1183, 0)</f>
        <v>5</v>
      </c>
      <c r="O25" s="28">
        <f>COUNTIFS(I2:I1183, 0, J2:J1183, 1)</f>
        <v>4</v>
      </c>
      <c r="P25" s="29">
        <f>COUNTIFS(I2:I1183, 1, J2:J1183, 0)</f>
        <v>7</v>
      </c>
      <c r="Q25" s="15"/>
      <c r="R25" s="9"/>
      <c r="S25" s="30">
        <f>(M25/(M25+O25))</f>
        <v>0.7777777778</v>
      </c>
      <c r="T25" s="30">
        <f>IFERROR((M25/(M25+P25)),0)</f>
        <v>0.6666666667</v>
      </c>
      <c r="U25" s="31">
        <f>IFERROR((2*S25*T25)/(S25+T25),0)</f>
        <v>0.7179487179</v>
      </c>
      <c r="V25" s="9"/>
      <c r="W25" s="16"/>
      <c r="X25" s="15"/>
      <c r="Y25" s="27">
        <f>COUNTIFS(I2:I1183, 1, K2:K1183, 1)</f>
        <v>20</v>
      </c>
      <c r="Z25" s="28">
        <f>COUNTIFS(I2:I1183, 0, K2:K1183, 0)</f>
        <v>7</v>
      </c>
      <c r="AA25" s="28">
        <f>COUNTIFS(I2:I1183, 0, K2:K1183, 1)</f>
        <v>2</v>
      </c>
      <c r="AB25" s="29">
        <f>COUNTIFS(I2:I1183, 1, K2:K1183, 0)</f>
        <v>1</v>
      </c>
      <c r="AC25" s="15"/>
      <c r="AD25" s="9"/>
      <c r="AE25" s="30">
        <f>(Y25/(Y25+AA25))</f>
        <v>0.9090909091</v>
      </c>
      <c r="AF25" s="30">
        <f>IFERROR((Y25/(Y25+AB25)),0)</f>
        <v>0.9523809524</v>
      </c>
      <c r="AG25" s="32">
        <f>IFERROR((2*AE25*AF25)/(AE25+AF25),0)</f>
        <v>0.9302325581</v>
      </c>
      <c r="AH25" s="15"/>
      <c r="AI25" s="16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</row>
    <row r="26">
      <c r="A26" s="1" t="s">
        <v>45</v>
      </c>
      <c r="B26" s="1">
        <v>0.0</v>
      </c>
      <c r="C26" s="1">
        <v>0.0</v>
      </c>
      <c r="D26" s="1">
        <v>0.0</v>
      </c>
      <c r="E26" s="1">
        <v>0.0</v>
      </c>
      <c r="F26" s="12">
        <v>1.0</v>
      </c>
      <c r="G26" s="12">
        <v>1.0</v>
      </c>
      <c r="H26" s="12">
        <v>1.0</v>
      </c>
      <c r="I26" s="13">
        <v>1.0</v>
      </c>
      <c r="J26" s="12">
        <v>0.0</v>
      </c>
      <c r="K26" s="14">
        <f t="shared" si="1"/>
        <v>1</v>
      </c>
      <c r="L26" s="14"/>
      <c r="M26" s="14"/>
      <c r="N26" s="14"/>
      <c r="O26" s="14"/>
      <c r="P26" s="14"/>
      <c r="Q26" s="15"/>
      <c r="R26" s="15"/>
      <c r="S26" s="14"/>
      <c r="T26" s="14"/>
      <c r="U26" s="14"/>
      <c r="V26" s="14"/>
      <c r="W26" s="33"/>
      <c r="X26" s="14"/>
      <c r="Y26" s="14"/>
      <c r="Z26" s="14"/>
      <c r="AA26" s="14"/>
      <c r="AB26" s="14"/>
      <c r="AC26" s="15"/>
      <c r="AD26" s="15"/>
      <c r="AE26" s="14"/>
      <c r="AF26" s="14"/>
      <c r="AG26" s="14"/>
      <c r="AH26" s="14"/>
      <c r="AI26" s="33"/>
      <c r="AJ26" s="14"/>
      <c r="AK26" s="14"/>
      <c r="AL26" s="14"/>
      <c r="AM26" s="14"/>
      <c r="AN26" s="14"/>
      <c r="AO26" s="15"/>
      <c r="AP26" s="15"/>
      <c r="AQ26" s="14"/>
      <c r="AR26" s="14"/>
      <c r="AS26" s="14"/>
      <c r="AT26" s="14"/>
      <c r="AU26" s="14"/>
    </row>
    <row r="27">
      <c r="A27" s="1" t="s">
        <v>46</v>
      </c>
      <c r="B27" s="1">
        <v>0.0</v>
      </c>
      <c r="C27" s="1">
        <v>0.0</v>
      </c>
      <c r="D27" s="1">
        <v>1.0</v>
      </c>
      <c r="E27" s="1">
        <v>0.0</v>
      </c>
      <c r="F27" s="1">
        <v>0.0</v>
      </c>
      <c r="G27" s="12">
        <v>0.0</v>
      </c>
      <c r="H27" s="12">
        <v>0.0</v>
      </c>
      <c r="I27" s="13">
        <v>0.0</v>
      </c>
      <c r="J27" s="12">
        <v>0.0</v>
      </c>
      <c r="K27" s="14">
        <f t="shared" si="1"/>
        <v>0</v>
      </c>
      <c r="L27" s="14"/>
      <c r="M27" s="14"/>
      <c r="N27" s="14"/>
      <c r="O27" s="14"/>
      <c r="P27" s="14"/>
      <c r="Q27" s="15"/>
      <c r="R27" s="15"/>
      <c r="S27" s="14"/>
      <c r="T27" s="14"/>
      <c r="U27" s="14"/>
      <c r="V27" s="14"/>
      <c r="W27" s="33"/>
      <c r="X27" s="14"/>
      <c r="Y27" s="14"/>
      <c r="Z27" s="14"/>
      <c r="AA27" s="14"/>
      <c r="AB27" s="14"/>
      <c r="AC27" s="15"/>
      <c r="AD27" s="15"/>
      <c r="AE27" s="14"/>
      <c r="AF27" s="14"/>
      <c r="AG27" s="14"/>
      <c r="AH27" s="14"/>
      <c r="AI27" s="33"/>
      <c r="AJ27" s="14"/>
      <c r="AK27" s="14"/>
      <c r="AL27" s="14"/>
      <c r="AM27" s="14"/>
      <c r="AN27" s="14"/>
      <c r="AO27" s="15"/>
      <c r="AP27" s="15"/>
      <c r="AQ27" s="14"/>
      <c r="AR27" s="14"/>
      <c r="AS27" s="14"/>
      <c r="AT27" s="14"/>
      <c r="AU27" s="14"/>
    </row>
    <row r="28">
      <c r="A28" s="1" t="s">
        <v>47</v>
      </c>
      <c r="B28" s="1">
        <v>0.0</v>
      </c>
      <c r="C28" s="1">
        <v>0.0</v>
      </c>
      <c r="D28" s="1">
        <v>1.0</v>
      </c>
      <c r="E28" s="1">
        <v>0.0</v>
      </c>
      <c r="F28" s="12">
        <v>1.0</v>
      </c>
      <c r="G28" s="12">
        <v>0.0</v>
      </c>
      <c r="H28" s="12">
        <v>1.0</v>
      </c>
      <c r="I28" s="13">
        <v>0.0</v>
      </c>
      <c r="J28" s="12">
        <v>1.0</v>
      </c>
      <c r="K28" s="14">
        <f t="shared" si="1"/>
        <v>1</v>
      </c>
      <c r="L28" s="14"/>
      <c r="M28" s="14"/>
      <c r="N28" s="14"/>
      <c r="O28" s="14"/>
      <c r="P28" s="14"/>
      <c r="Q28" s="15"/>
      <c r="R28" s="15"/>
      <c r="S28" s="14"/>
      <c r="T28" s="14"/>
      <c r="U28" s="14"/>
      <c r="V28" s="14"/>
      <c r="W28" s="33"/>
      <c r="X28" s="14"/>
      <c r="Y28" s="14"/>
      <c r="Z28" s="14"/>
      <c r="AA28" s="14"/>
      <c r="AB28" s="14"/>
      <c r="AC28" s="15"/>
      <c r="AD28" s="15"/>
      <c r="AE28" s="14"/>
      <c r="AF28" s="14"/>
      <c r="AG28" s="14"/>
      <c r="AH28" s="14"/>
      <c r="AI28" s="33"/>
      <c r="AJ28" s="14"/>
      <c r="AK28" s="14"/>
      <c r="AL28" s="14"/>
      <c r="AM28" s="14"/>
      <c r="AN28" s="14"/>
      <c r="AO28" s="15"/>
      <c r="AP28" s="15"/>
      <c r="AQ28" s="14"/>
      <c r="AR28" s="14"/>
      <c r="AS28" s="14"/>
      <c r="AT28" s="14"/>
      <c r="AU28" s="14"/>
    </row>
    <row r="29">
      <c r="A29" s="1" t="s">
        <v>48</v>
      </c>
      <c r="B29" s="1">
        <v>0.0</v>
      </c>
      <c r="C29" s="1">
        <v>1.0</v>
      </c>
      <c r="D29" s="1">
        <v>1.0</v>
      </c>
      <c r="E29" s="1">
        <v>0.0</v>
      </c>
      <c r="F29" s="12">
        <v>1.0</v>
      </c>
      <c r="G29" s="12">
        <v>0.0</v>
      </c>
      <c r="H29" s="12">
        <v>0.0</v>
      </c>
      <c r="I29" s="13">
        <v>1.0</v>
      </c>
      <c r="J29" s="12">
        <v>1.0</v>
      </c>
      <c r="K29" s="14">
        <f t="shared" si="1"/>
        <v>1</v>
      </c>
      <c r="L29" s="14"/>
      <c r="M29" s="14"/>
      <c r="N29" s="14"/>
      <c r="O29" s="14"/>
      <c r="P29" s="14"/>
      <c r="Q29" s="15"/>
      <c r="R29" s="15"/>
      <c r="S29" s="14"/>
      <c r="T29" s="14"/>
      <c r="U29" s="14"/>
      <c r="V29" s="14"/>
      <c r="W29" s="33"/>
      <c r="X29" s="14"/>
      <c r="Y29" s="14"/>
      <c r="Z29" s="14"/>
      <c r="AA29" s="14"/>
      <c r="AB29" s="14"/>
      <c r="AC29" s="15"/>
      <c r="AD29" s="15"/>
      <c r="AE29" s="14"/>
      <c r="AF29" s="14"/>
      <c r="AG29" s="14"/>
      <c r="AH29" s="14"/>
      <c r="AI29" s="33"/>
      <c r="AJ29" s="14"/>
      <c r="AK29" s="14"/>
      <c r="AL29" s="14"/>
      <c r="AM29" s="14"/>
      <c r="AN29" s="14"/>
      <c r="AO29" s="15"/>
      <c r="AP29" s="15"/>
      <c r="AQ29" s="14"/>
      <c r="AR29" s="14"/>
      <c r="AS29" s="14"/>
      <c r="AT29" s="14"/>
      <c r="AU29" s="14"/>
    </row>
    <row r="30">
      <c r="A30" s="1" t="s">
        <v>49</v>
      </c>
      <c r="B30" s="1">
        <v>0.0</v>
      </c>
      <c r="C30" s="1">
        <v>0.0</v>
      </c>
      <c r="D30" s="1">
        <v>1.0</v>
      </c>
      <c r="E30" s="1">
        <v>0.0</v>
      </c>
      <c r="F30" s="12">
        <v>0.0</v>
      </c>
      <c r="G30" s="12">
        <v>0.0</v>
      </c>
      <c r="H30" s="12">
        <v>0.0</v>
      </c>
      <c r="I30" s="13">
        <v>1.0</v>
      </c>
      <c r="J30" s="12">
        <v>0.0</v>
      </c>
      <c r="K30" s="14">
        <f t="shared" si="1"/>
        <v>0</v>
      </c>
      <c r="L30" s="14"/>
      <c r="M30" s="14"/>
      <c r="N30" s="14"/>
      <c r="O30" s="14"/>
      <c r="P30" s="14"/>
      <c r="Q30" s="15"/>
      <c r="R30" s="15"/>
      <c r="S30" s="14"/>
      <c r="T30" s="14"/>
      <c r="U30" s="14"/>
      <c r="V30" s="14"/>
      <c r="W30" s="33"/>
      <c r="X30" s="14"/>
      <c r="Y30" s="14"/>
      <c r="Z30" s="14"/>
      <c r="AA30" s="14"/>
      <c r="AB30" s="14"/>
      <c r="AC30" s="15"/>
      <c r="AD30" s="15"/>
      <c r="AE30" s="14"/>
      <c r="AF30" s="14"/>
      <c r="AG30" s="14"/>
      <c r="AH30" s="14"/>
      <c r="AI30" s="33"/>
      <c r="AJ30" s="14"/>
      <c r="AK30" s="14"/>
      <c r="AL30" s="14"/>
      <c r="AM30" s="14"/>
      <c r="AN30" s="14"/>
      <c r="AO30" s="15"/>
      <c r="AP30" s="15"/>
      <c r="AQ30" s="14"/>
      <c r="AR30" s="14"/>
      <c r="AS30" s="14"/>
      <c r="AT30" s="14"/>
      <c r="AU30" s="14"/>
    </row>
    <row r="31">
      <c r="A31" s="1" t="s">
        <v>50</v>
      </c>
      <c r="B31" s="1">
        <v>0.0</v>
      </c>
      <c r="C31" s="1">
        <v>0.0</v>
      </c>
      <c r="D31" s="1">
        <v>1.0</v>
      </c>
      <c r="E31" s="1">
        <v>0.0</v>
      </c>
      <c r="F31" s="12">
        <v>0.0</v>
      </c>
      <c r="G31" s="12">
        <v>0.0</v>
      </c>
      <c r="H31" s="12">
        <v>1.0</v>
      </c>
      <c r="I31" s="13">
        <v>1.0</v>
      </c>
      <c r="J31" s="12">
        <v>1.0</v>
      </c>
      <c r="K31" s="14">
        <f t="shared" si="1"/>
        <v>1</v>
      </c>
      <c r="L31" s="14"/>
      <c r="M31" s="14"/>
      <c r="N31" s="14"/>
      <c r="O31" s="14"/>
      <c r="P31" s="14"/>
      <c r="Q31" s="15"/>
      <c r="R31" s="15"/>
      <c r="S31" s="14"/>
      <c r="T31" s="14"/>
      <c r="U31" s="14"/>
      <c r="V31" s="14"/>
      <c r="W31" s="33"/>
      <c r="X31" s="14"/>
      <c r="Y31" s="14"/>
      <c r="Z31" s="14"/>
      <c r="AA31" s="14"/>
      <c r="AB31" s="14"/>
      <c r="AC31" s="15"/>
      <c r="AD31" s="15"/>
      <c r="AE31" s="14"/>
      <c r="AF31" s="14"/>
      <c r="AG31" s="14"/>
      <c r="AH31" s="14"/>
      <c r="AI31" s="33"/>
      <c r="AJ31" s="14"/>
      <c r="AK31" s="14"/>
      <c r="AL31" s="14"/>
      <c r="AM31" s="14"/>
      <c r="AN31" s="14"/>
      <c r="AO31" s="15"/>
      <c r="AP31" s="15"/>
      <c r="AQ31" s="14"/>
      <c r="AR31" s="14"/>
      <c r="AS31" s="14"/>
      <c r="AT31" s="14"/>
      <c r="AU31" s="14"/>
    </row>
  </sheetData>
  <autoFilter ref="$A$1:$K$31"/>
  <mergeCells count="27">
    <mergeCell ref="M1:U1"/>
    <mergeCell ref="Y1:AG1"/>
    <mergeCell ref="AK1:AS1"/>
    <mergeCell ref="M3:P3"/>
    <mergeCell ref="S3:U3"/>
    <mergeCell ref="Y3:AB3"/>
    <mergeCell ref="AE3:AG3"/>
    <mergeCell ref="M7:P7"/>
    <mergeCell ref="S7:U7"/>
    <mergeCell ref="Y7:AB7"/>
    <mergeCell ref="AE7:AG7"/>
    <mergeCell ref="S11:U11"/>
    <mergeCell ref="Y11:AB11"/>
    <mergeCell ref="AE11:AG11"/>
    <mergeCell ref="Y19:AB19"/>
    <mergeCell ref="AE19:AG19"/>
    <mergeCell ref="M23:P23"/>
    <mergeCell ref="S23:U23"/>
    <mergeCell ref="Y23:AB23"/>
    <mergeCell ref="AE23:AG23"/>
    <mergeCell ref="M11:P11"/>
    <mergeCell ref="M15:P15"/>
    <mergeCell ref="S15:U15"/>
    <mergeCell ref="Y15:AB15"/>
    <mergeCell ref="AE15:AG15"/>
    <mergeCell ref="M19:P19"/>
    <mergeCell ref="S19:U19"/>
  </mergeCells>
  <drawing r:id="rId1"/>
</worksheet>
</file>